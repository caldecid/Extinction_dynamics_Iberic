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OneDrive\Desktop\Collabs\Extinction_dynamics_Iberic\Data\Processed\Sensitivity\"/>
    </mc:Choice>
  </mc:AlternateContent>
  <xr:revisionPtr revIDLastSave="0" documentId="8_{4E053711-B11E-4B83-B2BB-2F40E88A45F2}" xr6:coauthVersionLast="47" xr6:coauthVersionMax="47" xr10:uidLastSave="{00000000-0000-0000-0000-000000000000}"/>
  <bookViews>
    <workbookView xWindow="-120" yWindow="-120" windowWidth="29040" windowHeight="15720" xr2:uid="{EB287B99-500A-4408-B533-7DC8602F0ECE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1" l="1"/>
  <c r="E14" i="1"/>
  <c r="E11" i="1"/>
  <c r="E8" i="1"/>
  <c r="E5" i="1"/>
  <c r="E2" i="1"/>
</calcChain>
</file>

<file path=xl/sharedStrings.xml><?xml version="1.0" encoding="utf-8"?>
<sst xmlns="http://schemas.openxmlformats.org/spreadsheetml/2006/main" count="45" uniqueCount="20">
  <si>
    <t>Region</t>
  </si>
  <si>
    <t>Extinction</t>
  </si>
  <si>
    <t>Model</t>
  </si>
  <si>
    <t>AIC</t>
  </si>
  <si>
    <t>ΔAIC</t>
  </si>
  <si>
    <t>Predictor</t>
  </si>
  <si>
    <r>
      <rPr>
        <b/>
        <sz val="11"/>
        <color theme="1"/>
        <rFont val="Calibri"/>
        <family val="2"/>
      </rPr>
      <t>β</t>
    </r>
    <r>
      <rPr>
        <b/>
        <sz val="11"/>
        <color theme="1"/>
        <rFont val="Times New Roman"/>
        <family val="1"/>
      </rPr>
      <t xml:space="preserve"> </t>
    </r>
  </si>
  <si>
    <t>p-value</t>
  </si>
  <si>
    <t>SE</t>
  </si>
  <si>
    <r>
      <t>R</t>
    </r>
    <r>
      <rPr>
        <b/>
        <vertAlign val="superscript"/>
        <sz val="11"/>
        <color theme="1"/>
        <rFont val="Times New Roman"/>
        <family val="1"/>
      </rPr>
      <t>2</t>
    </r>
  </si>
  <si>
    <t>Peninsula</t>
  </si>
  <si>
    <t>Low</t>
  </si>
  <si>
    <t>Full + richness</t>
  </si>
  <si>
    <t>Intermediate</t>
  </si>
  <si>
    <t>High</t>
  </si>
  <si>
    <t>richness</t>
  </si>
  <si>
    <t>mean_age</t>
  </si>
  <si>
    <t>rates</t>
  </si>
  <si>
    <t>&lt; 0.001</t>
  </si>
  <si>
    <t>Andalusia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</si>
</sst>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Times New Roman"/>
      <family val="2"/>
    </font>
    <font>
      <b/>
      <sz val="11"/>
      <color theme="1"/>
      <name val="Calibri"/>
      <family val="2"/>
    </font>
    <font>
      <b/>
      <vertAlign val="superscript"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B29D3-3641-4106-95D8-2BE8C05C3BCF}">
  <dimension ref="A1:J34"/>
  <sheetViews>
    <sheetView tabSelected="1" workbookViewId="0">
      <selection activeCell="F6" sqref="F6"/>
    </sheetView>
  </sheetViews>
  <sheetFormatPr defaultRowHeight="15" x14ac:dyDescent="0.25"/>
  <cols>
    <col min="1" max="1" width="10.28515625" customWidth="1"/>
    <col min="2" max="2" width="12.28515625" customWidth="1"/>
    <col min="3" max="3" width="14.5703125" customWidth="1"/>
    <col min="5" max="5" width="9.85546875" customWidth="1"/>
    <col min="6" max="6" width="11.140625" customWidth="1"/>
    <col min="7" max="7" width="9.28515625" customWidth="1"/>
    <col min="8" max="8" width="10" customWidth="1"/>
    <col min="9" max="9" width="9.42578125" customWidth="1"/>
    <col min="10" max="10" width="11.5703125" customWidth="1"/>
  </cols>
  <sheetData>
    <row r="1" spans="1:10" ht="1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4" t="s">
        <v>10</v>
      </c>
      <c r="B2" s="8" t="s">
        <v>11</v>
      </c>
      <c r="C2" s="8" t="s">
        <v>12</v>
      </c>
      <c r="D2" s="8">
        <v>1756.4</v>
      </c>
      <c r="E2" s="9">
        <f>1765.7-D2</f>
        <v>9.2999999999999545</v>
      </c>
      <c r="F2" s="10" t="s">
        <v>15</v>
      </c>
      <c r="G2" s="10">
        <v>7.0000000000000001E-3</v>
      </c>
      <c r="H2" s="10" t="s">
        <v>18</v>
      </c>
      <c r="I2" s="10">
        <v>1E-3</v>
      </c>
      <c r="J2" s="8">
        <v>8.9999999999999993E-3</v>
      </c>
    </row>
    <row r="3" spans="1:10" x14ac:dyDescent="0.25">
      <c r="A3" s="4"/>
      <c r="B3" s="8"/>
      <c r="C3" s="8"/>
      <c r="D3" s="8"/>
      <c r="E3" s="9"/>
      <c r="F3" s="10" t="s">
        <v>16</v>
      </c>
      <c r="G3" s="10">
        <v>2E-3</v>
      </c>
      <c r="H3" s="10">
        <v>0.58199999999999996</v>
      </c>
      <c r="I3" s="10">
        <v>3.0000000000000001E-3</v>
      </c>
      <c r="J3" s="8"/>
    </row>
    <row r="4" spans="1:10" x14ac:dyDescent="0.25">
      <c r="A4" s="4"/>
      <c r="B4" s="8"/>
      <c r="C4" s="8"/>
      <c r="D4" s="8"/>
      <c r="E4" s="9"/>
      <c r="F4" s="10" t="s">
        <v>17</v>
      </c>
      <c r="G4" s="10">
        <v>-0.34</v>
      </c>
      <c r="H4" s="10">
        <v>0.223</v>
      </c>
      <c r="I4" s="10">
        <v>0.28000000000000003</v>
      </c>
      <c r="J4" s="8"/>
    </row>
    <row r="5" spans="1:10" x14ac:dyDescent="0.25">
      <c r="A5" s="4"/>
      <c r="B5" s="5" t="s">
        <v>13</v>
      </c>
      <c r="C5" s="5" t="s">
        <v>12</v>
      </c>
      <c r="D5" s="5">
        <v>1756.4</v>
      </c>
      <c r="E5" s="6">
        <f>1765.7-D5</f>
        <v>9.2999999999999545</v>
      </c>
      <c r="F5" s="7" t="s">
        <v>15</v>
      </c>
      <c r="G5" s="7">
        <v>7.0000000000000001E-3</v>
      </c>
      <c r="H5" s="7" t="s">
        <v>18</v>
      </c>
      <c r="I5" s="7">
        <v>2E-3</v>
      </c>
      <c r="J5" s="5">
        <v>8.9999999999999993E-3</v>
      </c>
    </row>
    <row r="6" spans="1:10" x14ac:dyDescent="0.25">
      <c r="A6" s="4"/>
      <c r="B6" s="5"/>
      <c r="C6" s="5"/>
      <c r="D6" s="5"/>
      <c r="E6" s="6"/>
      <c r="F6" s="7" t="s">
        <v>16</v>
      </c>
      <c r="G6" s="7">
        <v>4.0000000000000001E-3</v>
      </c>
      <c r="H6" s="7">
        <v>0.55000000000000004</v>
      </c>
      <c r="I6" s="7">
        <v>8.0000000000000002E-3</v>
      </c>
      <c r="J6" s="5"/>
    </row>
    <row r="7" spans="1:10" x14ac:dyDescent="0.25">
      <c r="A7" s="4"/>
      <c r="B7" s="5"/>
      <c r="C7" s="5"/>
      <c r="D7" s="5"/>
      <c r="E7" s="6"/>
      <c r="F7" s="7" t="s">
        <v>17</v>
      </c>
      <c r="G7" s="7">
        <v>-0.315</v>
      </c>
      <c r="H7" s="7">
        <v>0.28999999999999998</v>
      </c>
      <c r="I7" s="7">
        <v>0.3</v>
      </c>
      <c r="J7" s="5"/>
    </row>
    <row r="8" spans="1:10" x14ac:dyDescent="0.25">
      <c r="A8" s="4"/>
      <c r="B8" s="8" t="s">
        <v>14</v>
      </c>
      <c r="C8" s="8" t="s">
        <v>12</v>
      </c>
      <c r="D8" s="8">
        <v>1756</v>
      </c>
      <c r="E8" s="9">
        <f xml:space="preserve"> 1765.2 -D8</f>
        <v>9.2000000000000455</v>
      </c>
      <c r="F8" s="10" t="s">
        <v>15</v>
      </c>
      <c r="G8" s="10">
        <v>8.0000000000000002E-3</v>
      </c>
      <c r="H8" s="10" t="s">
        <v>18</v>
      </c>
      <c r="I8" s="10">
        <v>2E-3</v>
      </c>
      <c r="J8" s="8">
        <v>8.9999999999999993E-3</v>
      </c>
    </row>
    <row r="9" spans="1:10" x14ac:dyDescent="0.25">
      <c r="A9" s="4"/>
      <c r="B9" s="8"/>
      <c r="C9" s="8"/>
      <c r="D9" s="8"/>
      <c r="E9" s="9"/>
      <c r="F9" s="10" t="s">
        <v>16</v>
      </c>
      <c r="G9" s="10">
        <v>1.2999999999999999E-2</v>
      </c>
      <c r="H9" s="10">
        <v>0.4</v>
      </c>
      <c r="I9" s="10">
        <v>1.6E-2</v>
      </c>
      <c r="J9" s="8"/>
    </row>
    <row r="10" spans="1:10" x14ac:dyDescent="0.25">
      <c r="A10" s="4"/>
      <c r="B10" s="8"/>
      <c r="C10" s="8"/>
      <c r="D10" s="8"/>
      <c r="E10" s="9"/>
      <c r="F10" s="10" t="s">
        <v>17</v>
      </c>
      <c r="G10" s="10">
        <v>-0.23699999999999999</v>
      </c>
      <c r="H10" s="10">
        <v>0.46</v>
      </c>
      <c r="I10" s="10">
        <v>0.32</v>
      </c>
      <c r="J10" s="8"/>
    </row>
    <row r="11" spans="1:10" x14ac:dyDescent="0.25">
      <c r="A11" s="4" t="s">
        <v>19</v>
      </c>
      <c r="B11" s="5" t="s">
        <v>11</v>
      </c>
      <c r="C11" s="5" t="s">
        <v>12</v>
      </c>
      <c r="D11" s="5">
        <v>1191.5999999999999</v>
      </c>
      <c r="E11" s="5">
        <f>D11 -1188.8</f>
        <v>2.7999999999999545</v>
      </c>
      <c r="F11" s="7" t="s">
        <v>15</v>
      </c>
      <c r="G11" s="7">
        <v>8.9999999999999993E-3</v>
      </c>
      <c r="H11" s="7">
        <v>0.27</v>
      </c>
      <c r="I11" s="7">
        <v>8.0000000000000002E-3</v>
      </c>
      <c r="J11" s="5">
        <v>7.0000000000000001E-3</v>
      </c>
    </row>
    <row r="12" spans="1:10" x14ac:dyDescent="0.25">
      <c r="A12" s="4"/>
      <c r="B12" s="5"/>
      <c r="C12" s="5"/>
      <c r="D12" s="5"/>
      <c r="E12" s="5"/>
      <c r="F12" s="7" t="s">
        <v>16</v>
      </c>
      <c r="G12" s="7">
        <v>1.4E-2</v>
      </c>
      <c r="H12" s="7">
        <v>1.0999999999999999E-2</v>
      </c>
      <c r="I12" s="7">
        <v>5.0000000000000001E-3</v>
      </c>
      <c r="J12" s="5"/>
    </row>
    <row r="13" spans="1:10" x14ac:dyDescent="0.25">
      <c r="A13" s="4"/>
      <c r="B13" s="5"/>
      <c r="C13" s="5"/>
      <c r="D13" s="5"/>
      <c r="E13" s="5"/>
      <c r="F13" s="7" t="s">
        <v>17</v>
      </c>
      <c r="G13" s="7">
        <v>-0.11</v>
      </c>
      <c r="H13" s="7">
        <v>0.8</v>
      </c>
      <c r="I13" s="7">
        <v>0.44</v>
      </c>
      <c r="J13" s="5"/>
    </row>
    <row r="14" spans="1:10" x14ac:dyDescent="0.25">
      <c r="A14" s="4"/>
      <c r="B14" s="8" t="s">
        <v>13</v>
      </c>
      <c r="C14" s="8" t="s">
        <v>12</v>
      </c>
      <c r="D14" s="8">
        <v>1191.7</v>
      </c>
      <c r="E14" s="8">
        <f>D14-1188.6</f>
        <v>3.1000000000001364</v>
      </c>
      <c r="F14" s="10" t="s">
        <v>15</v>
      </c>
      <c r="G14" s="10">
        <v>8.0000000000000002E-3</v>
      </c>
      <c r="H14" s="10">
        <v>0.34799999999999998</v>
      </c>
      <c r="I14" s="10">
        <v>8.0000000000000002E-3</v>
      </c>
      <c r="J14" s="8">
        <v>7.0000000000000001E-3</v>
      </c>
    </row>
    <row r="15" spans="1:10" x14ac:dyDescent="0.25">
      <c r="A15" s="4"/>
      <c r="B15" s="8"/>
      <c r="C15" s="8"/>
      <c r="D15" s="8"/>
      <c r="E15" s="8"/>
      <c r="F15" s="10" t="s">
        <v>16</v>
      </c>
      <c r="G15" s="10">
        <v>2.8000000000000001E-2</v>
      </c>
      <c r="H15" s="10">
        <v>1.4E-2</v>
      </c>
      <c r="I15" s="10">
        <v>1.1599999999999999E-2</v>
      </c>
      <c r="J15" s="8"/>
    </row>
    <row r="16" spans="1:10" x14ac:dyDescent="0.25">
      <c r="A16" s="4"/>
      <c r="B16" s="8"/>
      <c r="C16" s="8"/>
      <c r="D16" s="8"/>
      <c r="E16" s="8"/>
      <c r="F16" s="10" t="s">
        <v>17</v>
      </c>
      <c r="G16" s="10">
        <v>3.5999999999999997E-2</v>
      </c>
      <c r="H16" s="10">
        <v>0.94</v>
      </c>
      <c r="I16" s="10">
        <v>0.45800000000000002</v>
      </c>
      <c r="J16" s="8"/>
    </row>
    <row r="17" spans="1:10" x14ac:dyDescent="0.25">
      <c r="A17" s="4"/>
      <c r="B17" s="5" t="s">
        <v>14</v>
      </c>
      <c r="C17" s="5" t="s">
        <v>12</v>
      </c>
      <c r="D17" s="5">
        <v>1191.7</v>
      </c>
      <c r="E17" s="5">
        <f>D17-1185.5</f>
        <v>6.2000000000000455</v>
      </c>
      <c r="F17" s="7" t="s">
        <v>15</v>
      </c>
      <c r="G17" s="7">
        <v>7.0000000000000001E-3</v>
      </c>
      <c r="H17" s="7">
        <v>0.41</v>
      </c>
      <c r="I17" s="7">
        <v>8.0000000000000002E-3</v>
      </c>
      <c r="J17" s="5">
        <v>7.0000000000000001E-3</v>
      </c>
    </row>
    <row r="18" spans="1:10" x14ac:dyDescent="0.25">
      <c r="A18" s="4"/>
      <c r="B18" s="5"/>
      <c r="C18" s="5"/>
      <c r="D18" s="5"/>
      <c r="E18" s="5"/>
      <c r="F18" s="7" t="s">
        <v>16</v>
      </c>
      <c r="G18" s="7">
        <v>0.06</v>
      </c>
      <c r="H18" s="7">
        <v>1.4999999999999999E-2</v>
      </c>
      <c r="I18" s="7">
        <v>2.5000000000000001E-2</v>
      </c>
      <c r="J18" s="5"/>
    </row>
    <row r="19" spans="1:10" x14ac:dyDescent="0.25">
      <c r="A19" s="4"/>
      <c r="B19" s="5"/>
      <c r="C19" s="5"/>
      <c r="D19" s="5"/>
      <c r="E19" s="5"/>
      <c r="F19" s="7" t="s">
        <v>17</v>
      </c>
      <c r="G19" s="7">
        <v>0.19</v>
      </c>
      <c r="H19" s="7">
        <v>0.68700000000000006</v>
      </c>
      <c r="I19" s="7">
        <v>0.48</v>
      </c>
      <c r="J19" s="5"/>
    </row>
    <row r="20" spans="1:1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</row>
  </sheetData>
  <mergeCells count="32">
    <mergeCell ref="J14:J16"/>
    <mergeCell ref="B17:B19"/>
    <mergeCell ref="C17:C19"/>
    <mergeCell ref="D17:D19"/>
    <mergeCell ref="E17:E19"/>
    <mergeCell ref="J17:J19"/>
    <mergeCell ref="A11:A19"/>
    <mergeCell ref="B11:B13"/>
    <mergeCell ref="C11:C13"/>
    <mergeCell ref="D11:D13"/>
    <mergeCell ref="E11:E13"/>
    <mergeCell ref="J11:J13"/>
    <mergeCell ref="B14:B16"/>
    <mergeCell ref="C14:C16"/>
    <mergeCell ref="D14:D16"/>
    <mergeCell ref="E14:E16"/>
    <mergeCell ref="J2:J4"/>
    <mergeCell ref="J5:J7"/>
    <mergeCell ref="J8:J10"/>
    <mergeCell ref="D5:D7"/>
    <mergeCell ref="E5:E7"/>
    <mergeCell ref="D8:D10"/>
    <mergeCell ref="E8:E10"/>
    <mergeCell ref="D2:D4"/>
    <mergeCell ref="E2:E4"/>
    <mergeCell ref="C2:C4"/>
    <mergeCell ref="B2:B4"/>
    <mergeCell ref="A2:A10"/>
    <mergeCell ref="B5:B7"/>
    <mergeCell ref="B8:B10"/>
    <mergeCell ref="C5:C7"/>
    <mergeCell ref="C8:C10"/>
  </mergeCells>
  <phoneticPr fontId="6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Calderon del Cid</dc:creator>
  <cp:lastModifiedBy>Carlos Calderon del Cid</cp:lastModifiedBy>
  <dcterms:created xsi:type="dcterms:W3CDTF">2026-03-31T18:12:11Z</dcterms:created>
  <dcterms:modified xsi:type="dcterms:W3CDTF">2026-03-31T19:11:04Z</dcterms:modified>
</cp:coreProperties>
</file>