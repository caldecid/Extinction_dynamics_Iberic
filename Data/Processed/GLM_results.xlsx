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lo\OneDrive\Desktop\Collabs\Extinction_dynamics_Iberic\Data\Processed\"/>
    </mc:Choice>
  </mc:AlternateContent>
  <xr:revisionPtr revIDLastSave="0" documentId="13_ncr:1_{02DE1483-E0DD-470C-A775-D39D9DD99C82}" xr6:coauthVersionLast="47" xr6:coauthVersionMax="47" xr10:uidLastSave="{00000000-0000-0000-0000-000000000000}"/>
  <bookViews>
    <workbookView xWindow="-120" yWindow="-120" windowWidth="29040" windowHeight="15720" activeTab="2" xr2:uid="{74ED5B23-4F77-4FB6-972B-07F52B9703B8}"/>
  </bookViews>
  <sheets>
    <sheet name="Complete_GLM" sheetId="1" r:id="rId1"/>
    <sheet name="summary_GLM" sheetId="2" r:id="rId2"/>
    <sheet name="Complete_Betaregression" sheetId="3" r:id="rId3"/>
    <sheet name="summary_Betaregression" sheetId="4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1" i="3" l="1"/>
  <c r="E29" i="3"/>
  <c r="E27" i="3"/>
  <c r="E26" i="3"/>
  <c r="E25" i="3"/>
  <c r="E24" i="3"/>
  <c r="E22" i="3"/>
  <c r="E21" i="3"/>
  <c r="E19" i="3"/>
  <c r="E17" i="3"/>
  <c r="E16" i="3"/>
  <c r="E14" i="3"/>
  <c r="E12" i="3"/>
  <c r="E11" i="3"/>
  <c r="E9" i="3"/>
  <c r="E7" i="3"/>
  <c r="E6" i="3"/>
  <c r="E4" i="3"/>
  <c r="E2" i="3"/>
  <c r="E29" i="1"/>
  <c r="E27" i="1"/>
  <c r="E24" i="1"/>
  <c r="E22" i="1"/>
  <c r="E21" i="1"/>
  <c r="E19" i="1"/>
  <c r="E17" i="1"/>
  <c r="E16" i="1"/>
  <c r="E14" i="1"/>
  <c r="E12" i="1"/>
  <c r="E11" i="1"/>
  <c r="E10" i="1"/>
  <c r="E7" i="1"/>
  <c r="E6" i="1"/>
  <c r="E5" i="1"/>
  <c r="E2" i="1"/>
</calcChain>
</file>

<file path=xl/sharedStrings.xml><?xml version="1.0" encoding="utf-8"?>
<sst xmlns="http://schemas.openxmlformats.org/spreadsheetml/2006/main" count="244" uniqueCount="25">
  <si>
    <t>Region</t>
  </si>
  <si>
    <t>Extinction</t>
  </si>
  <si>
    <t>Model</t>
  </si>
  <si>
    <t>AIC</t>
  </si>
  <si>
    <t>ΔAIC</t>
  </si>
  <si>
    <t>p-value</t>
  </si>
  <si>
    <r>
      <t>R</t>
    </r>
    <r>
      <rPr>
        <b/>
        <vertAlign val="superscript"/>
        <sz val="11"/>
        <color theme="1"/>
        <rFont val="Times New Roman"/>
        <family val="1"/>
      </rPr>
      <t>2</t>
    </r>
  </si>
  <si>
    <t>Peninsula</t>
  </si>
  <si>
    <t>Low</t>
  </si>
  <si>
    <t>Intermediate</t>
  </si>
  <si>
    <t>High</t>
  </si>
  <si>
    <t>~ mean age</t>
  </si>
  <si>
    <t>Full</t>
  </si>
  <si>
    <t>Null</t>
  </si>
  <si>
    <t>SE</t>
  </si>
  <si>
    <t>~ Div. rates</t>
  </si>
  <si>
    <r>
      <rPr>
        <b/>
        <sz val="11"/>
        <color theme="1"/>
        <rFont val="Calibri"/>
        <family val="2"/>
      </rPr>
      <t>β</t>
    </r>
    <r>
      <rPr>
        <b/>
        <sz val="11"/>
        <color theme="1"/>
        <rFont val="Times New Roman"/>
        <family val="1"/>
      </rPr>
      <t xml:space="preserve"> </t>
    </r>
  </si>
  <si>
    <t>Predictor</t>
  </si>
  <si>
    <t>mean_age</t>
  </si>
  <si>
    <t>rates</t>
  </si>
  <si>
    <t>—</t>
  </si>
  <si>
    <t>Andalusia</t>
  </si>
  <si>
    <t>&lt; 0.01</t>
  </si>
  <si>
    <t xml:space="preserve"> &lt; 0.01</t>
  </si>
  <si>
    <t>&lt; 0.001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</si>
</sst>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</font>
    <font>
      <b/>
      <sz val="11"/>
      <color theme="1"/>
      <name val="Times New Roman"/>
      <family val="2"/>
    </font>
    <font>
      <b/>
      <sz val="11"/>
      <color theme="1"/>
      <name val="Calibri"/>
      <family val="2"/>
    </font>
    <font>
      <b/>
      <vertAlign val="superscript"/>
      <sz val="11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1" fillId="0" borderId="7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AFE65-6B3C-4C90-80AD-1909516945B0}">
  <dimension ref="A1:AK35"/>
  <sheetViews>
    <sheetView workbookViewId="0">
      <selection activeCell="A17" sqref="A17:A31"/>
    </sheetView>
  </sheetViews>
  <sheetFormatPr defaultRowHeight="15" x14ac:dyDescent="0.25"/>
  <cols>
    <col min="1" max="1" width="14.7109375" customWidth="1"/>
    <col min="2" max="2" width="11.42578125" customWidth="1"/>
    <col min="3" max="3" width="16.42578125" customWidth="1"/>
    <col min="4" max="4" width="12.42578125" customWidth="1"/>
    <col min="5" max="5" width="12.7109375" customWidth="1"/>
    <col min="6" max="6" width="14" customWidth="1"/>
    <col min="7" max="7" width="9.5703125" customWidth="1"/>
    <col min="8" max="8" width="11.7109375" customWidth="1"/>
  </cols>
  <sheetData>
    <row r="1" spans="1:37" ht="17.25" x14ac:dyDescent="0.2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17</v>
      </c>
      <c r="G1" s="10" t="s">
        <v>16</v>
      </c>
      <c r="H1" s="9" t="s">
        <v>5</v>
      </c>
      <c r="I1" s="9" t="s">
        <v>14</v>
      </c>
      <c r="J1" s="9" t="s">
        <v>6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 x14ac:dyDescent="0.25">
      <c r="A2" s="23" t="s">
        <v>7</v>
      </c>
      <c r="B2" s="30" t="s">
        <v>8</v>
      </c>
      <c r="C2" s="26" t="s">
        <v>12</v>
      </c>
      <c r="D2" s="26">
        <v>1767.6</v>
      </c>
      <c r="E2" s="28">
        <f>D2-D4</f>
        <v>1.8999999999998636</v>
      </c>
      <c r="F2" s="12" t="s">
        <v>18</v>
      </c>
      <c r="G2" s="12">
        <v>1E-3</v>
      </c>
      <c r="H2" s="12">
        <v>0.7</v>
      </c>
      <c r="I2" s="12">
        <v>3.0000000000000001E-3</v>
      </c>
      <c r="J2" s="30">
        <v>1.4E-3</v>
      </c>
      <c r="K2" s="3"/>
      <c r="L2" s="2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 spans="1:37" x14ac:dyDescent="0.25">
      <c r="A3" s="23"/>
      <c r="B3" s="30"/>
      <c r="C3" s="27"/>
      <c r="D3" s="27"/>
      <c r="E3" s="29"/>
      <c r="F3" s="12" t="s">
        <v>19</v>
      </c>
      <c r="G3" s="12">
        <v>-0.379</v>
      </c>
      <c r="H3" s="12">
        <v>0.23</v>
      </c>
      <c r="I3" s="12">
        <v>0.31</v>
      </c>
      <c r="J3" s="30"/>
      <c r="K3" s="3"/>
      <c r="L3" s="2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spans="1:37" x14ac:dyDescent="0.25">
      <c r="A4" s="23"/>
      <c r="B4" s="30"/>
      <c r="C4" s="13" t="s">
        <v>15</v>
      </c>
      <c r="D4" s="13">
        <v>1765.7</v>
      </c>
      <c r="E4" s="13">
        <v>0</v>
      </c>
      <c r="F4" s="13" t="s">
        <v>19</v>
      </c>
      <c r="G4" s="13">
        <v>-0.43</v>
      </c>
      <c r="H4" s="13">
        <v>0.14199999999999999</v>
      </c>
      <c r="I4" s="13">
        <v>0.28999999999999998</v>
      </c>
      <c r="J4" s="13">
        <v>1.4E-3</v>
      </c>
      <c r="K4" s="3"/>
      <c r="L4" s="2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</row>
    <row r="5" spans="1:37" x14ac:dyDescent="0.25">
      <c r="A5" s="23"/>
      <c r="B5" s="30"/>
      <c r="C5" s="12" t="s">
        <v>11</v>
      </c>
      <c r="D5" s="12">
        <v>1767.2</v>
      </c>
      <c r="E5" s="12">
        <f>D5-D4</f>
        <v>1.5</v>
      </c>
      <c r="F5" s="12" t="s">
        <v>18</v>
      </c>
      <c r="G5" s="12">
        <v>3.0000000000000001E-3</v>
      </c>
      <c r="H5" s="12">
        <v>0.32</v>
      </c>
      <c r="I5" s="12">
        <v>3.0000000000000001E-3</v>
      </c>
      <c r="J5" s="12" t="s">
        <v>24</v>
      </c>
      <c r="K5" s="3"/>
      <c r="L5" s="2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</row>
    <row r="6" spans="1:37" x14ac:dyDescent="0.25">
      <c r="A6" s="23"/>
      <c r="B6" s="30"/>
      <c r="C6" s="12" t="s">
        <v>13</v>
      </c>
      <c r="D6" s="12">
        <v>1766.2</v>
      </c>
      <c r="E6" s="12">
        <f>D6-D4</f>
        <v>0.5</v>
      </c>
      <c r="F6" s="14" t="s">
        <v>20</v>
      </c>
      <c r="G6" s="14" t="s">
        <v>20</v>
      </c>
      <c r="H6" s="14" t="s">
        <v>20</v>
      </c>
      <c r="I6" s="14" t="s">
        <v>20</v>
      </c>
      <c r="J6" s="14" t="s">
        <v>20</v>
      </c>
      <c r="K6" s="3"/>
      <c r="L6" s="2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</row>
    <row r="7" spans="1:37" x14ac:dyDescent="0.25">
      <c r="A7" s="23"/>
      <c r="B7" s="23" t="s">
        <v>9</v>
      </c>
      <c r="C7" s="24" t="s">
        <v>12</v>
      </c>
      <c r="D7" s="24">
        <v>1767.4</v>
      </c>
      <c r="E7" s="33">
        <f>D7-D9</f>
        <v>1.7000000000000455</v>
      </c>
      <c r="F7" s="4" t="s">
        <v>18</v>
      </c>
      <c r="G7" s="4">
        <v>4.0000000000000001E-3</v>
      </c>
      <c r="H7" s="4">
        <v>0.56999999999999995</v>
      </c>
      <c r="I7" s="4">
        <v>8.0000000000000002E-3</v>
      </c>
      <c r="J7" s="23">
        <v>1.5E-3</v>
      </c>
      <c r="K7" s="3"/>
      <c r="L7" s="2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</row>
    <row r="8" spans="1:37" x14ac:dyDescent="0.25">
      <c r="A8" s="23"/>
      <c r="B8" s="23"/>
      <c r="C8" s="25"/>
      <c r="D8" s="25"/>
      <c r="E8" s="34"/>
      <c r="F8" s="4" t="s">
        <v>19</v>
      </c>
      <c r="G8" s="4">
        <v>-0.33</v>
      </c>
      <c r="H8" s="4">
        <v>0.32</v>
      </c>
      <c r="I8" s="4">
        <v>0.33</v>
      </c>
      <c r="J8" s="23"/>
      <c r="K8" s="3"/>
      <c r="L8" s="2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</row>
    <row r="9" spans="1:37" x14ac:dyDescent="0.25">
      <c r="A9" s="23"/>
      <c r="B9" s="23"/>
      <c r="C9" s="5" t="s">
        <v>15</v>
      </c>
      <c r="D9" s="5">
        <v>1765.7</v>
      </c>
      <c r="E9" s="5">
        <v>0</v>
      </c>
      <c r="F9" s="5" t="s">
        <v>19</v>
      </c>
      <c r="G9" s="5">
        <v>-0.43</v>
      </c>
      <c r="H9" s="5">
        <v>0.14199999999999999</v>
      </c>
      <c r="I9" s="5">
        <v>0.28999999999999998</v>
      </c>
      <c r="J9" s="5">
        <v>1.2999999999999999E-3</v>
      </c>
      <c r="K9" s="3"/>
      <c r="L9" s="2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</row>
    <row r="10" spans="1:37" x14ac:dyDescent="0.25">
      <c r="A10" s="23"/>
      <c r="B10" s="23"/>
      <c r="C10" s="4" t="s">
        <v>11</v>
      </c>
      <c r="D10" s="4">
        <v>1766.5</v>
      </c>
      <c r="E10" s="4">
        <f>D10-D9</f>
        <v>0.79999999999995453</v>
      </c>
      <c r="F10" s="4" t="s">
        <v>18</v>
      </c>
      <c r="G10" s="4">
        <v>8.9999999999999993E-3</v>
      </c>
      <c r="H10" s="4">
        <v>0.19600000000000001</v>
      </c>
      <c r="I10" s="4">
        <v>6.0000000000000001E-3</v>
      </c>
      <c r="J10" s="4" t="s">
        <v>24</v>
      </c>
      <c r="K10" s="3"/>
      <c r="L10" s="2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</row>
    <row r="11" spans="1:37" x14ac:dyDescent="0.25">
      <c r="A11" s="23"/>
      <c r="B11" s="23"/>
      <c r="C11" s="4" t="s">
        <v>13</v>
      </c>
      <c r="D11" s="4">
        <v>1766.2</v>
      </c>
      <c r="E11" s="4">
        <f>D11-D9</f>
        <v>0.5</v>
      </c>
      <c r="F11" s="6" t="s">
        <v>20</v>
      </c>
      <c r="G11" s="6" t="s">
        <v>20</v>
      </c>
      <c r="H11" s="6" t="s">
        <v>20</v>
      </c>
      <c r="I11" s="6" t="s">
        <v>20</v>
      </c>
      <c r="J11" s="6" t="s">
        <v>20</v>
      </c>
      <c r="K11" s="3"/>
      <c r="L11" s="2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</row>
    <row r="12" spans="1:37" x14ac:dyDescent="0.25">
      <c r="A12" s="23"/>
      <c r="B12" s="30" t="s">
        <v>10</v>
      </c>
      <c r="C12" s="26" t="s">
        <v>12</v>
      </c>
      <c r="D12" s="31">
        <v>1766.8</v>
      </c>
      <c r="E12" s="28">
        <f>D12-D15</f>
        <v>1.5999999999999091</v>
      </c>
      <c r="F12" s="12" t="s">
        <v>18</v>
      </c>
      <c r="G12" s="12">
        <v>1.6E-2</v>
      </c>
      <c r="H12" s="12">
        <v>0.34</v>
      </c>
      <c r="I12" s="12">
        <v>0.02</v>
      </c>
      <c r="J12" s="30">
        <v>1.8E-3</v>
      </c>
      <c r="K12" s="3"/>
      <c r="L12" s="2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</row>
    <row r="13" spans="1:37" x14ac:dyDescent="0.25">
      <c r="A13" s="23"/>
      <c r="B13" s="30"/>
      <c r="C13" s="27"/>
      <c r="D13" s="32"/>
      <c r="E13" s="29"/>
      <c r="F13" s="12" t="s">
        <v>19</v>
      </c>
      <c r="G13" s="12">
        <v>-0.22</v>
      </c>
      <c r="H13" s="12">
        <v>0.53</v>
      </c>
      <c r="I13" s="12">
        <v>0.35</v>
      </c>
      <c r="J13" s="30"/>
      <c r="K13" s="3"/>
      <c r="L13" s="2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</row>
    <row r="14" spans="1:37" x14ac:dyDescent="0.25">
      <c r="A14" s="23"/>
      <c r="B14" s="30"/>
      <c r="C14" s="12" t="s">
        <v>15</v>
      </c>
      <c r="D14" s="12">
        <v>1765.7</v>
      </c>
      <c r="E14" s="12">
        <f>D14-D15</f>
        <v>0.5</v>
      </c>
      <c r="F14" s="12" t="s">
        <v>19</v>
      </c>
      <c r="G14" s="12">
        <v>-0.43</v>
      </c>
      <c r="H14" s="12">
        <v>0.14199999999999999</v>
      </c>
      <c r="I14" s="12">
        <v>0.28999999999999998</v>
      </c>
      <c r="J14" s="12">
        <v>1.4E-3</v>
      </c>
      <c r="K14" s="3"/>
      <c r="L14" s="2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</row>
    <row r="15" spans="1:37" x14ac:dyDescent="0.25">
      <c r="A15" s="23"/>
      <c r="B15" s="30"/>
      <c r="C15" s="13" t="s">
        <v>11</v>
      </c>
      <c r="D15" s="13">
        <v>1765.2</v>
      </c>
      <c r="E15" s="12">
        <v>0</v>
      </c>
      <c r="F15" s="13" t="s">
        <v>18</v>
      </c>
      <c r="G15" s="13">
        <v>2.1999999999999999E-2</v>
      </c>
      <c r="H15" s="13">
        <v>8.8999999999999996E-2</v>
      </c>
      <c r="I15" s="13">
        <v>1.2999999999999999E-2</v>
      </c>
      <c r="J15" s="13">
        <v>1.6999999999999999E-3</v>
      </c>
      <c r="K15" s="3"/>
      <c r="L15" s="2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</row>
    <row r="16" spans="1:37" x14ac:dyDescent="0.25">
      <c r="A16" s="23"/>
      <c r="B16" s="30"/>
      <c r="C16" s="12" t="s">
        <v>13</v>
      </c>
      <c r="D16" s="12">
        <v>1766.2</v>
      </c>
      <c r="E16" s="12">
        <f>D16-D15</f>
        <v>1</v>
      </c>
      <c r="F16" s="14" t="s">
        <v>20</v>
      </c>
      <c r="G16" s="14" t="s">
        <v>20</v>
      </c>
      <c r="H16" s="14" t="s">
        <v>20</v>
      </c>
      <c r="I16" s="14" t="s">
        <v>20</v>
      </c>
      <c r="J16" s="14" t="s">
        <v>20</v>
      </c>
      <c r="K16" s="3"/>
      <c r="L16" s="2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</row>
    <row r="17" spans="1:37" x14ac:dyDescent="0.25">
      <c r="A17" s="23" t="s">
        <v>21</v>
      </c>
      <c r="B17" s="23" t="s">
        <v>8</v>
      </c>
      <c r="C17" s="24" t="s">
        <v>12</v>
      </c>
      <c r="D17" s="24">
        <v>1190.7</v>
      </c>
      <c r="E17" s="24">
        <f>D17-D20</f>
        <v>1.9000000000000909</v>
      </c>
      <c r="F17" s="4" t="s">
        <v>18</v>
      </c>
      <c r="G17" s="4">
        <v>1.2999999999999999E-2</v>
      </c>
      <c r="H17" s="4">
        <v>1.4E-2</v>
      </c>
      <c r="I17" s="4">
        <v>5.0000000000000001E-3</v>
      </c>
      <c r="J17" s="23">
        <v>6.0000000000000001E-3</v>
      </c>
      <c r="K17" s="3"/>
      <c r="L17" s="2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</row>
    <row r="18" spans="1:37" x14ac:dyDescent="0.25">
      <c r="A18" s="23"/>
      <c r="B18" s="23"/>
      <c r="C18" s="25"/>
      <c r="D18" s="25"/>
      <c r="E18" s="25"/>
      <c r="F18" s="4" t="s">
        <v>19</v>
      </c>
      <c r="G18" s="4">
        <v>-0.17</v>
      </c>
      <c r="H18" s="4">
        <v>0.71</v>
      </c>
      <c r="I18" s="4">
        <v>0.45</v>
      </c>
      <c r="J18" s="23"/>
      <c r="K18" s="3"/>
      <c r="L18" s="2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</row>
    <row r="19" spans="1:37" x14ac:dyDescent="0.25">
      <c r="A19" s="23"/>
      <c r="B19" s="23"/>
      <c r="C19" s="4" t="s">
        <v>15</v>
      </c>
      <c r="D19" s="4">
        <v>1194.4000000000001</v>
      </c>
      <c r="E19" s="4">
        <f>D19-D20</f>
        <v>5.6000000000001364</v>
      </c>
      <c r="F19" s="4" t="s">
        <v>19</v>
      </c>
      <c r="G19" s="4">
        <v>-0.61</v>
      </c>
      <c r="H19" s="4">
        <v>0.185</v>
      </c>
      <c r="I19" s="4">
        <v>0.46</v>
      </c>
      <c r="J19" s="4">
        <v>1.6999999999999999E-3</v>
      </c>
      <c r="K19" s="3"/>
      <c r="L19" s="2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</row>
    <row r="20" spans="1:37" x14ac:dyDescent="0.25">
      <c r="A20" s="23"/>
      <c r="B20" s="23"/>
      <c r="C20" s="5" t="s">
        <v>11</v>
      </c>
      <c r="D20" s="5">
        <v>1188.8</v>
      </c>
      <c r="E20" s="5">
        <v>0</v>
      </c>
      <c r="F20" s="5" t="s">
        <v>18</v>
      </c>
      <c r="G20" s="5">
        <v>1.4E-2</v>
      </c>
      <c r="H20" s="5" t="s">
        <v>22</v>
      </c>
      <c r="I20" s="5">
        <v>5.0000000000000001E-3</v>
      </c>
      <c r="J20" s="5">
        <v>6.0000000000000001E-3</v>
      </c>
      <c r="K20" s="3"/>
      <c r="L20" s="2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</row>
    <row r="21" spans="1:37" x14ac:dyDescent="0.25">
      <c r="A21" s="23"/>
      <c r="B21" s="23"/>
      <c r="C21" s="4" t="s">
        <v>13</v>
      </c>
      <c r="D21" s="4">
        <v>1194.4000000000001</v>
      </c>
      <c r="E21" s="4">
        <f>D21-D20</f>
        <v>5.6000000000001364</v>
      </c>
      <c r="F21" s="6" t="s">
        <v>20</v>
      </c>
      <c r="G21" s="6" t="s">
        <v>20</v>
      </c>
      <c r="H21" s="6" t="s">
        <v>20</v>
      </c>
      <c r="I21" s="6" t="s">
        <v>20</v>
      </c>
      <c r="J21" s="6" t="s">
        <v>20</v>
      </c>
      <c r="K21" s="3"/>
      <c r="L21" s="2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</row>
    <row r="22" spans="1:37" x14ac:dyDescent="0.25">
      <c r="A22" s="23"/>
      <c r="B22" s="30" t="s">
        <v>9</v>
      </c>
      <c r="C22" s="26" t="s">
        <v>12</v>
      </c>
      <c r="D22" s="26">
        <v>1190.5999999999999</v>
      </c>
      <c r="E22" s="26">
        <f>D22-D25</f>
        <v>2</v>
      </c>
      <c r="F22" s="12" t="s">
        <v>18</v>
      </c>
      <c r="G22" s="12">
        <v>2.8000000000000001E-2</v>
      </c>
      <c r="H22" s="12">
        <v>1.4999999999999999E-2</v>
      </c>
      <c r="I22" s="12">
        <v>1.6E-2</v>
      </c>
      <c r="J22" s="30">
        <v>6.6E-3</v>
      </c>
      <c r="K22" s="3"/>
      <c r="L22" s="2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</row>
    <row r="23" spans="1:37" x14ac:dyDescent="0.25">
      <c r="A23" s="23"/>
      <c r="B23" s="30"/>
      <c r="C23" s="27"/>
      <c r="D23" s="27"/>
      <c r="E23" s="27"/>
      <c r="F23" s="12" t="s">
        <v>19</v>
      </c>
      <c r="G23" s="12">
        <v>-1E-3</v>
      </c>
      <c r="H23" s="12">
        <v>0.99</v>
      </c>
      <c r="I23" s="12">
        <v>0.46</v>
      </c>
      <c r="J23" s="30"/>
      <c r="K23" s="3"/>
      <c r="L23" s="2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</row>
    <row r="24" spans="1:37" x14ac:dyDescent="0.25">
      <c r="A24" s="23"/>
      <c r="B24" s="30"/>
      <c r="C24" s="12" t="s">
        <v>15</v>
      </c>
      <c r="D24" s="12">
        <v>1194.4000000000001</v>
      </c>
      <c r="E24" s="12">
        <f>D24-D25</f>
        <v>5.8000000000001819</v>
      </c>
      <c r="F24" s="12" t="s">
        <v>19</v>
      </c>
      <c r="G24" s="12">
        <v>-0.61</v>
      </c>
      <c r="H24" s="12">
        <v>0.185</v>
      </c>
      <c r="I24" s="12">
        <v>0.46</v>
      </c>
      <c r="J24" s="12">
        <v>1.6999999999999999E-3</v>
      </c>
      <c r="K24" s="2"/>
      <c r="L24" s="2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</row>
    <row r="25" spans="1:37" x14ac:dyDescent="0.25">
      <c r="A25" s="23"/>
      <c r="B25" s="30"/>
      <c r="C25" s="13" t="s">
        <v>11</v>
      </c>
      <c r="D25" s="13">
        <v>1188.5999999999999</v>
      </c>
      <c r="E25" s="13">
        <v>0</v>
      </c>
      <c r="F25" s="13" t="s">
        <v>18</v>
      </c>
      <c r="G25" s="13">
        <v>2.8000000000000001E-2</v>
      </c>
      <c r="H25" s="13" t="s">
        <v>22</v>
      </c>
      <c r="I25" s="13">
        <v>0.01</v>
      </c>
      <c r="J25" s="13">
        <v>6.6E-3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</row>
    <row r="26" spans="1:37" x14ac:dyDescent="0.25">
      <c r="A26" s="23"/>
      <c r="B26" s="30"/>
      <c r="C26" s="12" t="s">
        <v>13</v>
      </c>
      <c r="D26" s="12">
        <v>1194.4000000000001</v>
      </c>
      <c r="E26" s="12">
        <v>5.8</v>
      </c>
      <c r="F26" s="14" t="s">
        <v>20</v>
      </c>
      <c r="G26" s="14" t="s">
        <v>20</v>
      </c>
      <c r="H26" s="14" t="s">
        <v>20</v>
      </c>
      <c r="I26" s="14" t="s">
        <v>20</v>
      </c>
      <c r="J26" s="14" t="s">
        <v>20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</row>
    <row r="27" spans="1:37" x14ac:dyDescent="0.25">
      <c r="A27" s="23"/>
      <c r="B27" s="23" t="s">
        <v>10</v>
      </c>
      <c r="C27" s="24" t="s">
        <v>12</v>
      </c>
      <c r="D27" s="24">
        <v>1190.3</v>
      </c>
      <c r="E27" s="24">
        <f>D27-D30</f>
        <v>4.7999999999999545</v>
      </c>
      <c r="F27" s="4" t="s">
        <v>18</v>
      </c>
      <c r="G27" s="4">
        <v>0.06</v>
      </c>
      <c r="H27" s="4">
        <v>1.2999999999999999E-2</v>
      </c>
      <c r="I27" s="4">
        <v>0.02</v>
      </c>
      <c r="J27" s="35">
        <v>6.7999999999999996E-3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</row>
    <row r="28" spans="1:37" x14ac:dyDescent="0.25">
      <c r="A28" s="23"/>
      <c r="B28" s="23"/>
      <c r="C28" s="25"/>
      <c r="D28" s="25"/>
      <c r="E28" s="25"/>
      <c r="F28" s="11" t="s">
        <v>19</v>
      </c>
      <c r="G28" s="11">
        <v>0.17</v>
      </c>
      <c r="H28" s="11">
        <v>0.72</v>
      </c>
      <c r="I28" s="11">
        <v>0.48</v>
      </c>
      <c r="J28" s="36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</row>
    <row r="29" spans="1:37" x14ac:dyDescent="0.25">
      <c r="A29" s="23"/>
      <c r="B29" s="23"/>
      <c r="C29" s="7" t="s">
        <v>15</v>
      </c>
      <c r="D29" s="4">
        <v>1194.4000000000001</v>
      </c>
      <c r="E29" s="4">
        <f>D29-D30</f>
        <v>8.9000000000000909</v>
      </c>
      <c r="F29" s="4" t="s">
        <v>19</v>
      </c>
      <c r="G29" s="4">
        <v>-0.61</v>
      </c>
      <c r="H29" s="4">
        <v>0.185</v>
      </c>
      <c r="I29" s="4">
        <v>0.46</v>
      </c>
      <c r="J29" s="4">
        <v>1.6999999999999999E-3</v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</row>
    <row r="30" spans="1:37" x14ac:dyDescent="0.25">
      <c r="A30" s="23"/>
      <c r="B30" s="23"/>
      <c r="C30" s="8" t="s">
        <v>11</v>
      </c>
      <c r="D30" s="5">
        <v>1185.5</v>
      </c>
      <c r="E30" s="5">
        <v>0</v>
      </c>
      <c r="F30" s="5" t="s">
        <v>18</v>
      </c>
      <c r="G30" s="5">
        <v>5.7000000000000002E-2</v>
      </c>
      <c r="H30" s="5" t="s">
        <v>23</v>
      </c>
      <c r="I30" s="5">
        <v>0.02</v>
      </c>
      <c r="J30" s="5">
        <v>6.7000000000000002E-3</v>
      </c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</row>
    <row r="31" spans="1:37" x14ac:dyDescent="0.25">
      <c r="A31" s="23"/>
      <c r="B31" s="23"/>
      <c r="C31" s="7" t="s">
        <v>13</v>
      </c>
      <c r="D31" s="4">
        <v>1194.4000000000001</v>
      </c>
      <c r="E31" s="4">
        <v>8.9</v>
      </c>
      <c r="F31" s="6" t="s">
        <v>20</v>
      </c>
      <c r="G31" s="6" t="s">
        <v>20</v>
      </c>
      <c r="H31" s="6" t="s">
        <v>20</v>
      </c>
      <c r="I31" s="6" t="s">
        <v>20</v>
      </c>
      <c r="J31" s="6" t="s">
        <v>20</v>
      </c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</row>
    <row r="32" spans="1:37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</row>
    <row r="33" spans="1:37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</row>
    <row r="34" spans="1:37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</row>
    <row r="35" spans="1:37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</row>
  </sheetData>
  <mergeCells count="32">
    <mergeCell ref="J7:J8"/>
    <mergeCell ref="J12:J13"/>
    <mergeCell ref="J17:J18"/>
    <mergeCell ref="J22:J23"/>
    <mergeCell ref="J27:J28"/>
    <mergeCell ref="E7:E8"/>
    <mergeCell ref="E12:E13"/>
    <mergeCell ref="E17:E18"/>
    <mergeCell ref="E27:E28"/>
    <mergeCell ref="E22:E23"/>
    <mergeCell ref="D2:D3"/>
    <mergeCell ref="E2:E3"/>
    <mergeCell ref="J2:J3"/>
    <mergeCell ref="A2:A16"/>
    <mergeCell ref="A17:A31"/>
    <mergeCell ref="D7:D8"/>
    <mergeCell ref="D12:D13"/>
    <mergeCell ref="D17:D18"/>
    <mergeCell ref="D22:D23"/>
    <mergeCell ref="D27:D28"/>
    <mergeCell ref="B2:B6"/>
    <mergeCell ref="B7:B11"/>
    <mergeCell ref="B12:B16"/>
    <mergeCell ref="B17:B21"/>
    <mergeCell ref="B22:B26"/>
    <mergeCell ref="B27:B31"/>
    <mergeCell ref="C27:C28"/>
    <mergeCell ref="C2:C3"/>
    <mergeCell ref="C7:C8"/>
    <mergeCell ref="C12:C13"/>
    <mergeCell ref="C17:C18"/>
    <mergeCell ref="C22:C23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326AF-0F6A-4F4A-8E87-CDE9E604DBA2}">
  <dimension ref="A1:S34"/>
  <sheetViews>
    <sheetView workbookViewId="0">
      <selection activeCell="A2" sqref="A2:A4"/>
    </sheetView>
  </sheetViews>
  <sheetFormatPr defaultRowHeight="15" x14ac:dyDescent="0.25"/>
  <cols>
    <col min="1" max="1" width="14.140625" customWidth="1"/>
    <col min="2" max="2" width="13.28515625" customWidth="1"/>
    <col min="3" max="3" width="16.85546875" customWidth="1"/>
  </cols>
  <sheetData>
    <row r="1" spans="1:19" ht="17.25" x14ac:dyDescent="0.25">
      <c r="A1" s="9" t="s">
        <v>0</v>
      </c>
      <c r="B1" s="9" t="s">
        <v>1</v>
      </c>
      <c r="C1" s="9" t="s">
        <v>2</v>
      </c>
      <c r="D1" s="9" t="s">
        <v>3</v>
      </c>
      <c r="E1" s="10" t="s">
        <v>16</v>
      </c>
      <c r="F1" s="9" t="s">
        <v>5</v>
      </c>
      <c r="G1" s="9" t="s">
        <v>14</v>
      </c>
      <c r="H1" s="9" t="s">
        <v>6</v>
      </c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23" t="s">
        <v>7</v>
      </c>
      <c r="B2" s="15" t="s">
        <v>8</v>
      </c>
      <c r="C2" s="15" t="s">
        <v>15</v>
      </c>
      <c r="D2" s="15">
        <v>1765.7</v>
      </c>
      <c r="E2" s="15">
        <v>-0.43</v>
      </c>
      <c r="F2" s="15">
        <v>0.14199999999999999</v>
      </c>
      <c r="G2" s="15">
        <v>0.28999999999999998</v>
      </c>
      <c r="H2" s="15">
        <v>1.4E-3</v>
      </c>
      <c r="K2" s="1"/>
      <c r="L2" s="1"/>
      <c r="M2" s="1"/>
      <c r="N2" s="1"/>
      <c r="O2" s="1"/>
      <c r="P2" s="1"/>
      <c r="Q2" s="1"/>
      <c r="R2" s="1"/>
      <c r="S2" s="1"/>
    </row>
    <row r="3" spans="1:19" x14ac:dyDescent="0.25">
      <c r="A3" s="23"/>
      <c r="B3" s="15" t="s">
        <v>9</v>
      </c>
      <c r="C3" s="15" t="s">
        <v>15</v>
      </c>
      <c r="D3" s="15">
        <v>1765.7</v>
      </c>
      <c r="E3" s="15">
        <v>-0.43</v>
      </c>
      <c r="F3" s="15">
        <v>0.14199999999999999</v>
      </c>
      <c r="G3" s="15">
        <v>0.28999999999999998</v>
      </c>
      <c r="H3" s="15">
        <v>1.2999999999999999E-3</v>
      </c>
      <c r="K3" s="1"/>
      <c r="L3" s="1"/>
      <c r="M3" s="1"/>
      <c r="N3" s="1"/>
      <c r="O3" s="1"/>
      <c r="P3" s="1"/>
      <c r="Q3" s="1"/>
      <c r="R3" s="1"/>
      <c r="S3" s="1"/>
    </row>
    <row r="4" spans="1:19" x14ac:dyDescent="0.25">
      <c r="A4" s="23"/>
      <c r="B4" s="15" t="s">
        <v>10</v>
      </c>
      <c r="C4" s="15" t="s">
        <v>11</v>
      </c>
      <c r="D4" s="15">
        <v>1765.2</v>
      </c>
      <c r="E4" s="15">
        <v>2.1999999999999999E-2</v>
      </c>
      <c r="F4" s="15">
        <v>8.8999999999999996E-2</v>
      </c>
      <c r="G4" s="15">
        <v>1.2999999999999999E-2</v>
      </c>
      <c r="H4" s="15">
        <v>1.6999999999999999E-3</v>
      </c>
      <c r="K4" s="1"/>
      <c r="L4" s="1"/>
      <c r="M4" s="1"/>
      <c r="N4" s="1"/>
      <c r="O4" s="1"/>
      <c r="P4" s="1"/>
      <c r="Q4" s="1"/>
      <c r="R4" s="1"/>
      <c r="S4" s="1"/>
    </row>
    <row r="5" spans="1:19" x14ac:dyDescent="0.25">
      <c r="A5" s="23" t="s">
        <v>21</v>
      </c>
      <c r="B5" s="4" t="s">
        <v>8</v>
      </c>
      <c r="C5" s="4" t="s">
        <v>11</v>
      </c>
      <c r="D5" s="4">
        <v>1188.8</v>
      </c>
      <c r="E5" s="4">
        <v>1.4E-2</v>
      </c>
      <c r="F5" s="4" t="s">
        <v>22</v>
      </c>
      <c r="G5" s="4">
        <v>5.0000000000000001E-3</v>
      </c>
      <c r="H5" s="4">
        <v>6.0000000000000001E-3</v>
      </c>
      <c r="K5" s="1"/>
      <c r="L5" s="1"/>
      <c r="M5" s="1"/>
      <c r="N5" s="1"/>
      <c r="O5" s="1"/>
      <c r="P5" s="1"/>
      <c r="Q5" s="1"/>
      <c r="R5" s="1"/>
      <c r="S5" s="1"/>
    </row>
    <row r="6" spans="1:19" x14ac:dyDescent="0.25">
      <c r="A6" s="23"/>
      <c r="B6" s="4" t="s">
        <v>9</v>
      </c>
      <c r="C6" s="4" t="s">
        <v>11</v>
      </c>
      <c r="D6" s="4">
        <v>1188.5999999999999</v>
      </c>
      <c r="E6" s="4">
        <v>2.8000000000000001E-2</v>
      </c>
      <c r="F6" s="4" t="s">
        <v>22</v>
      </c>
      <c r="G6" s="4">
        <v>0.01</v>
      </c>
      <c r="H6" s="4">
        <v>6.6E-3</v>
      </c>
      <c r="K6" s="1"/>
      <c r="L6" s="1"/>
      <c r="M6" s="1"/>
      <c r="N6" s="1"/>
      <c r="O6" s="1"/>
      <c r="P6" s="1"/>
      <c r="Q6" s="1"/>
      <c r="R6" s="1"/>
      <c r="S6" s="1"/>
    </row>
    <row r="7" spans="1:19" x14ac:dyDescent="0.25">
      <c r="A7" s="23"/>
      <c r="B7" s="4" t="s">
        <v>10</v>
      </c>
      <c r="C7" s="4" t="s">
        <v>11</v>
      </c>
      <c r="D7" s="4">
        <v>1185.5</v>
      </c>
      <c r="E7" s="4">
        <v>5.7000000000000002E-2</v>
      </c>
      <c r="F7" s="4" t="s">
        <v>23</v>
      </c>
      <c r="G7" s="4">
        <v>0.02</v>
      </c>
      <c r="H7" s="4">
        <v>6.7000000000000002E-3</v>
      </c>
      <c r="K7" s="1"/>
      <c r="L7" s="1"/>
      <c r="M7" s="1"/>
      <c r="N7" s="1"/>
      <c r="O7" s="1"/>
      <c r="P7" s="1"/>
      <c r="Q7" s="1"/>
      <c r="R7" s="1"/>
      <c r="S7" s="1"/>
    </row>
    <row r="8" spans="1:19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</row>
    <row r="9" spans="1:19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 spans="1:19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spans="1:19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 spans="1:19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</row>
    <row r="13" spans="1:19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 spans="1:19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 spans="1:19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 spans="1:19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  <row r="17" spans="1:19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 spans="1:19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 spans="1:19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 spans="1:19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</row>
    <row r="21" spans="1:19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 spans="1:19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</row>
    <row r="23" spans="1:19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  <row r="24" spans="1:19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</row>
    <row r="25" spans="1:19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  <row r="26" spans="1:19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</row>
    <row r="27" spans="1:19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</row>
    <row r="28" spans="1:19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</row>
    <row r="29" spans="1:19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</row>
    <row r="30" spans="1:19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</row>
    <row r="31" spans="1:19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</row>
    <row r="32" spans="1:19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</row>
    <row r="33" spans="1:19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</row>
    <row r="34" spans="1:19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</row>
  </sheetData>
  <mergeCells count="2">
    <mergeCell ref="A2:A4"/>
    <mergeCell ref="A5:A7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C53F3-16B4-4577-80E4-BEEA39230C08}">
  <dimension ref="A1:J31"/>
  <sheetViews>
    <sheetView tabSelected="1" workbookViewId="0">
      <selection activeCell="G5" sqref="G5"/>
    </sheetView>
  </sheetViews>
  <sheetFormatPr defaultRowHeight="15" x14ac:dyDescent="0.25"/>
  <cols>
    <col min="1" max="1" width="18.5703125" customWidth="1"/>
    <col min="2" max="2" width="17.140625" customWidth="1"/>
    <col min="3" max="3" width="13" customWidth="1"/>
    <col min="4" max="4" width="11.85546875" customWidth="1"/>
    <col min="5" max="6" width="11.42578125" customWidth="1"/>
    <col min="7" max="7" width="12.42578125" customWidth="1"/>
    <col min="8" max="8" width="11" customWidth="1"/>
    <col min="9" max="9" width="10.7109375" customWidth="1"/>
    <col min="10" max="10" width="11" customWidth="1"/>
  </cols>
  <sheetData>
    <row r="1" spans="1:10" ht="17.25" x14ac:dyDescent="0.2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17</v>
      </c>
      <c r="G1" s="10" t="s">
        <v>16</v>
      </c>
      <c r="H1" s="9" t="s">
        <v>5</v>
      </c>
      <c r="I1" s="9" t="s">
        <v>14</v>
      </c>
      <c r="J1" s="9" t="s">
        <v>6</v>
      </c>
    </row>
    <row r="2" spans="1:10" x14ac:dyDescent="0.25">
      <c r="A2" s="23" t="s">
        <v>7</v>
      </c>
      <c r="B2" s="30" t="s">
        <v>8</v>
      </c>
      <c r="C2" s="26" t="s">
        <v>12</v>
      </c>
      <c r="D2" s="26">
        <v>-1313.13</v>
      </c>
      <c r="E2" s="28">
        <f>D2-D5</f>
        <v>1.3599999999999</v>
      </c>
      <c r="F2" s="12" t="s">
        <v>18</v>
      </c>
      <c r="G2" s="12">
        <v>4.0000000000000001E-3</v>
      </c>
      <c r="H2" s="12">
        <v>0.159</v>
      </c>
      <c r="I2" s="12">
        <v>3.0000000000000001E-3</v>
      </c>
      <c r="J2" s="30">
        <v>0.01</v>
      </c>
    </row>
    <row r="3" spans="1:10" x14ac:dyDescent="0.25">
      <c r="A3" s="23"/>
      <c r="B3" s="30"/>
      <c r="C3" s="27"/>
      <c r="D3" s="27"/>
      <c r="E3" s="29"/>
      <c r="F3" s="12" t="s">
        <v>19</v>
      </c>
      <c r="G3" s="12">
        <v>-0.15</v>
      </c>
      <c r="H3" s="12">
        <v>0.41399999999999998</v>
      </c>
      <c r="I3" s="12">
        <v>0.185</v>
      </c>
      <c r="J3" s="30"/>
    </row>
    <row r="4" spans="1:10" x14ac:dyDescent="0.25">
      <c r="A4" s="23"/>
      <c r="B4" s="30"/>
      <c r="C4" s="12" t="s">
        <v>15</v>
      </c>
      <c r="D4" s="12">
        <v>-1313.23</v>
      </c>
      <c r="E4" s="12">
        <f>D4-D5</f>
        <v>1.2599999999999909</v>
      </c>
      <c r="F4" s="12" t="s">
        <v>19</v>
      </c>
      <c r="G4" s="12">
        <v>-0.25</v>
      </c>
      <c r="H4" s="12">
        <v>0.14000000000000001</v>
      </c>
      <c r="I4" s="12">
        <v>0.17399999999999999</v>
      </c>
      <c r="J4" s="12">
        <v>6.0000000000000001E-3</v>
      </c>
    </row>
    <row r="5" spans="1:10" x14ac:dyDescent="0.25">
      <c r="A5" s="23"/>
      <c r="B5" s="30"/>
      <c r="C5" s="13" t="s">
        <v>11</v>
      </c>
      <c r="D5" s="13">
        <v>-1314.49</v>
      </c>
      <c r="E5" s="13">
        <v>0</v>
      </c>
      <c r="F5" s="13" t="s">
        <v>18</v>
      </c>
      <c r="G5" s="13">
        <v>5.0000000000000001E-3</v>
      </c>
      <c r="H5" s="13">
        <v>7.0000000000000007E-2</v>
      </c>
      <c r="I5" s="13">
        <v>3.0000000000000001E-3</v>
      </c>
      <c r="J5" s="13">
        <v>8.9999999999999993E-3</v>
      </c>
    </row>
    <row r="6" spans="1:10" x14ac:dyDescent="0.25">
      <c r="A6" s="23"/>
      <c r="B6" s="30"/>
      <c r="C6" s="12" t="s">
        <v>13</v>
      </c>
      <c r="D6" s="12">
        <v>-1313.19</v>
      </c>
      <c r="E6" s="12">
        <f>D6-D5</f>
        <v>1.2999999999999545</v>
      </c>
      <c r="F6" s="14" t="s">
        <v>20</v>
      </c>
      <c r="G6" s="14" t="s">
        <v>20</v>
      </c>
      <c r="H6" s="14" t="s">
        <v>20</v>
      </c>
      <c r="I6" s="14" t="s">
        <v>20</v>
      </c>
      <c r="J6" s="14" t="s">
        <v>20</v>
      </c>
    </row>
    <row r="7" spans="1:10" x14ac:dyDescent="0.25">
      <c r="A7" s="23"/>
      <c r="B7" s="23" t="s">
        <v>9</v>
      </c>
      <c r="C7" s="24" t="s">
        <v>12</v>
      </c>
      <c r="D7" s="24">
        <v>-1312.7</v>
      </c>
      <c r="E7" s="33">
        <f>D7-D10</f>
        <v>1.5899999999999181</v>
      </c>
      <c r="F7" s="4" t="s">
        <v>18</v>
      </c>
      <c r="G7" s="4">
        <v>7.0000000000000001E-3</v>
      </c>
      <c r="H7" s="4">
        <v>0.221</v>
      </c>
      <c r="I7" s="4">
        <v>6.0000000000000001E-3</v>
      </c>
      <c r="J7" s="23">
        <v>0.01</v>
      </c>
    </row>
    <row r="8" spans="1:10" x14ac:dyDescent="0.25">
      <c r="A8" s="23"/>
      <c r="B8" s="23"/>
      <c r="C8" s="25"/>
      <c r="D8" s="25"/>
      <c r="E8" s="34"/>
      <c r="F8" s="4" t="s">
        <v>19</v>
      </c>
      <c r="G8" s="4">
        <v>-0.13</v>
      </c>
      <c r="H8" s="4">
        <v>0.51</v>
      </c>
      <c r="I8" s="4">
        <v>0.19700000000000001</v>
      </c>
      <c r="J8" s="23"/>
    </row>
    <row r="9" spans="1:10" x14ac:dyDescent="0.25">
      <c r="A9" s="23"/>
      <c r="B9" s="23"/>
      <c r="C9" s="4" t="s">
        <v>15</v>
      </c>
      <c r="D9" s="4">
        <v>-1313.23</v>
      </c>
      <c r="E9" s="4">
        <f>D9-D10</f>
        <v>1.0599999999999454</v>
      </c>
      <c r="F9" s="4" t="s">
        <v>19</v>
      </c>
      <c r="G9" s="4">
        <v>-0.25</v>
      </c>
      <c r="H9" s="4">
        <v>0.14399999999999999</v>
      </c>
      <c r="I9" s="4">
        <v>0.17299999999999999</v>
      </c>
      <c r="J9" s="4">
        <v>6.0000000000000001E-3</v>
      </c>
    </row>
    <row r="10" spans="1:10" x14ac:dyDescent="0.25">
      <c r="A10" s="23"/>
      <c r="B10" s="23"/>
      <c r="C10" s="5" t="s">
        <v>11</v>
      </c>
      <c r="D10" s="5">
        <v>-1314.29</v>
      </c>
      <c r="E10" s="5">
        <v>0</v>
      </c>
      <c r="F10" s="5" t="s">
        <v>18</v>
      </c>
      <c r="G10" s="5">
        <v>8.9999999999999993E-3</v>
      </c>
      <c r="H10" s="5">
        <v>7.8E-2</v>
      </c>
      <c r="I10" s="5">
        <v>5.0000000000000001E-3</v>
      </c>
      <c r="J10" s="5">
        <v>8.0000000000000002E-3</v>
      </c>
    </row>
    <row r="11" spans="1:10" x14ac:dyDescent="0.25">
      <c r="A11" s="23"/>
      <c r="B11" s="23"/>
      <c r="C11" s="4" t="s">
        <v>13</v>
      </c>
      <c r="D11" s="4">
        <v>-1313.19</v>
      </c>
      <c r="E11" s="4">
        <f>D11-D10</f>
        <v>1.0999999999999091</v>
      </c>
      <c r="F11" s="6" t="s">
        <v>20</v>
      </c>
      <c r="G11" s="6" t="s">
        <v>20</v>
      </c>
      <c r="H11" s="6" t="s">
        <v>20</v>
      </c>
      <c r="I11" s="6" t="s">
        <v>20</v>
      </c>
      <c r="J11" s="6" t="s">
        <v>20</v>
      </c>
    </row>
    <row r="12" spans="1:10" x14ac:dyDescent="0.25">
      <c r="A12" s="23"/>
      <c r="B12" s="30" t="s">
        <v>10</v>
      </c>
      <c r="C12" s="26" t="s">
        <v>12</v>
      </c>
      <c r="D12" s="31">
        <v>-1312.83</v>
      </c>
      <c r="E12" s="28">
        <f>D12-D15</f>
        <v>1.8400000000001455</v>
      </c>
      <c r="F12" s="12" t="s">
        <v>18</v>
      </c>
      <c r="G12" s="12">
        <v>1.6E-2</v>
      </c>
      <c r="H12" s="12">
        <v>0.20100000000000001</v>
      </c>
      <c r="I12" s="12">
        <v>1.2999999999999999E-2</v>
      </c>
      <c r="J12" s="30">
        <v>0.01</v>
      </c>
    </row>
    <row r="13" spans="1:10" x14ac:dyDescent="0.25">
      <c r="A13" s="23"/>
      <c r="B13" s="30"/>
      <c r="C13" s="27"/>
      <c r="D13" s="32"/>
      <c r="E13" s="29"/>
      <c r="F13" s="12" t="s">
        <v>19</v>
      </c>
      <c r="G13" s="12">
        <v>-8.5999999999999993E-2</v>
      </c>
      <c r="H13" s="12">
        <v>0.68400000000000005</v>
      </c>
      <c r="I13" s="12">
        <v>0.21199999999999999</v>
      </c>
      <c r="J13" s="30"/>
    </row>
    <row r="14" spans="1:10" x14ac:dyDescent="0.25">
      <c r="A14" s="23"/>
      <c r="B14" s="30"/>
      <c r="C14" s="12" t="s">
        <v>15</v>
      </c>
      <c r="D14" s="12">
        <v>-1313.23</v>
      </c>
      <c r="E14" s="12">
        <f>D14-D15</f>
        <v>1.4400000000000546</v>
      </c>
      <c r="F14" s="12" t="s">
        <v>19</v>
      </c>
      <c r="G14" s="12">
        <v>-0.25600000000000001</v>
      </c>
      <c r="H14" s="12">
        <v>0.14399999999999999</v>
      </c>
      <c r="I14" s="12">
        <v>0.17299999999999999</v>
      </c>
      <c r="J14" s="12">
        <v>6.0000000000000001E-3</v>
      </c>
    </row>
    <row r="15" spans="1:10" x14ac:dyDescent="0.25">
      <c r="A15" s="23"/>
      <c r="B15" s="30"/>
      <c r="C15" s="13" t="s">
        <v>11</v>
      </c>
      <c r="D15" s="13">
        <v>-1314.67</v>
      </c>
      <c r="E15" s="13">
        <v>0</v>
      </c>
      <c r="F15" s="13" t="s">
        <v>18</v>
      </c>
      <c r="G15" s="13">
        <v>1.9E-2</v>
      </c>
      <c r="H15" s="13">
        <v>0.06</v>
      </c>
      <c r="I15" s="13">
        <v>0.01</v>
      </c>
      <c r="J15" s="13">
        <v>0.01</v>
      </c>
    </row>
    <row r="16" spans="1:10" x14ac:dyDescent="0.25">
      <c r="A16" s="23"/>
      <c r="B16" s="30"/>
      <c r="C16" s="12" t="s">
        <v>13</v>
      </c>
      <c r="D16" s="12">
        <v>-1313.19</v>
      </c>
      <c r="E16" s="12">
        <f>D16-D15</f>
        <v>1.4800000000000182</v>
      </c>
      <c r="F16" s="14" t="s">
        <v>20</v>
      </c>
      <c r="G16" s="14" t="s">
        <v>20</v>
      </c>
      <c r="H16" s="14" t="s">
        <v>20</v>
      </c>
      <c r="I16" s="14" t="s">
        <v>20</v>
      </c>
      <c r="J16" s="14" t="s">
        <v>20</v>
      </c>
    </row>
    <row r="17" spans="1:10" x14ac:dyDescent="0.25">
      <c r="A17" s="23" t="s">
        <v>21</v>
      </c>
      <c r="B17" s="23" t="s">
        <v>8</v>
      </c>
      <c r="C17" s="24" t="s">
        <v>12</v>
      </c>
      <c r="D17" s="24">
        <v>-1000.41</v>
      </c>
      <c r="E17" s="24">
        <f>D17-D20</f>
        <v>1.6399999999999864</v>
      </c>
      <c r="F17" s="4" t="s">
        <v>18</v>
      </c>
      <c r="G17" s="4">
        <v>7.0000000000000001E-3</v>
      </c>
      <c r="H17" s="4">
        <v>2.5000000000000001E-2</v>
      </c>
      <c r="I17" s="4">
        <v>3.0000000000000001E-3</v>
      </c>
      <c r="J17" s="23">
        <v>2.1999999999999999E-2</v>
      </c>
    </row>
    <row r="18" spans="1:10" x14ac:dyDescent="0.25">
      <c r="A18" s="23"/>
      <c r="B18" s="23"/>
      <c r="C18" s="25"/>
      <c r="D18" s="25"/>
      <c r="E18" s="25"/>
      <c r="F18" s="4" t="s">
        <v>19</v>
      </c>
      <c r="G18" s="4">
        <v>-0.11</v>
      </c>
      <c r="H18" s="4">
        <v>0.55000000000000004</v>
      </c>
      <c r="I18" s="4">
        <v>0.19</v>
      </c>
      <c r="J18" s="23"/>
    </row>
    <row r="19" spans="1:10" x14ac:dyDescent="0.25">
      <c r="A19" s="23"/>
      <c r="B19" s="23"/>
      <c r="C19" s="4" t="s">
        <v>15</v>
      </c>
      <c r="D19" s="4">
        <v>-997.71</v>
      </c>
      <c r="E19" s="4">
        <f>D19-D20</f>
        <v>4.3399999999999181</v>
      </c>
      <c r="F19" s="4" t="s">
        <v>19</v>
      </c>
      <c r="G19" s="4">
        <v>-0.28000000000000003</v>
      </c>
      <c r="H19" s="4">
        <v>0.12</v>
      </c>
      <c r="I19" s="4">
        <v>0.18</v>
      </c>
      <c r="J19" s="4">
        <v>8.0000000000000002E-3</v>
      </c>
    </row>
    <row r="20" spans="1:10" x14ac:dyDescent="0.25">
      <c r="A20" s="23"/>
      <c r="B20" s="23"/>
      <c r="C20" s="5" t="s">
        <v>11</v>
      </c>
      <c r="D20" s="5">
        <v>-1002.05</v>
      </c>
      <c r="E20" s="5">
        <v>0</v>
      </c>
      <c r="F20" s="5" t="s">
        <v>18</v>
      </c>
      <c r="G20" s="5">
        <v>8.0000000000000002E-3</v>
      </c>
      <c r="H20" s="5">
        <v>7.0000000000000001E-3</v>
      </c>
      <c r="I20" s="5">
        <v>2E-3</v>
      </c>
      <c r="J20" s="5">
        <v>0.02</v>
      </c>
    </row>
    <row r="21" spans="1:10" x14ac:dyDescent="0.25">
      <c r="A21" s="23"/>
      <c r="B21" s="23"/>
      <c r="C21" s="4" t="s">
        <v>13</v>
      </c>
      <c r="D21" s="4">
        <v>-997.3</v>
      </c>
      <c r="E21" s="4">
        <f>D21-D20</f>
        <v>4.75</v>
      </c>
      <c r="F21" s="6" t="s">
        <v>20</v>
      </c>
      <c r="G21" s="6" t="s">
        <v>20</v>
      </c>
      <c r="H21" s="6" t="s">
        <v>20</v>
      </c>
      <c r="I21" s="6" t="s">
        <v>20</v>
      </c>
      <c r="J21" s="6" t="s">
        <v>20</v>
      </c>
    </row>
    <row r="22" spans="1:10" x14ac:dyDescent="0.25">
      <c r="A22" s="23"/>
      <c r="B22" s="30" t="s">
        <v>9</v>
      </c>
      <c r="C22" s="26" t="s">
        <v>12</v>
      </c>
      <c r="D22" s="26">
        <v>-998.92</v>
      </c>
      <c r="E22" s="26">
        <f>D22-D25</f>
        <v>1.8100000000000591</v>
      </c>
      <c r="F22" s="12" t="s">
        <v>18</v>
      </c>
      <c r="G22" s="12">
        <v>1.2E-2</v>
      </c>
      <c r="H22" s="12">
        <v>6.7000000000000004E-2</v>
      </c>
      <c r="I22" s="12">
        <v>7.0000000000000001E-3</v>
      </c>
      <c r="J22" s="30">
        <v>1.7999999999999999E-2</v>
      </c>
    </row>
    <row r="23" spans="1:10" x14ac:dyDescent="0.25">
      <c r="A23" s="23"/>
      <c r="B23" s="30"/>
      <c r="C23" s="27"/>
      <c r="D23" s="27"/>
      <c r="E23" s="27"/>
      <c r="F23" s="12" t="s">
        <v>19</v>
      </c>
      <c r="G23" s="12">
        <v>-0.09</v>
      </c>
      <c r="H23" s="12">
        <v>0.66100000000000003</v>
      </c>
      <c r="I23" s="12">
        <v>0.21</v>
      </c>
      <c r="J23" s="30"/>
    </row>
    <row r="24" spans="1:10" x14ac:dyDescent="0.25">
      <c r="A24" s="23"/>
      <c r="B24" s="30"/>
      <c r="C24" s="12" t="s">
        <v>15</v>
      </c>
      <c r="D24" s="12">
        <v>-997.71</v>
      </c>
      <c r="E24" s="12">
        <f>D24-D25</f>
        <v>3.0199999999999818</v>
      </c>
      <c r="F24" s="12" t="s">
        <v>19</v>
      </c>
      <c r="G24" s="12">
        <v>-0.28000000000000003</v>
      </c>
      <c r="H24" s="12">
        <v>0.12</v>
      </c>
      <c r="I24" s="12">
        <v>0.18</v>
      </c>
      <c r="J24" s="12">
        <v>8.0000000000000002E-3</v>
      </c>
    </row>
    <row r="25" spans="1:10" x14ac:dyDescent="0.25">
      <c r="A25" s="23"/>
      <c r="B25" s="30"/>
      <c r="C25" s="13" t="s">
        <v>11</v>
      </c>
      <c r="D25" s="13">
        <v>-1000.73</v>
      </c>
      <c r="E25" s="13">
        <f>D25-D25</f>
        <v>0</v>
      </c>
      <c r="F25" s="13" t="s">
        <v>18</v>
      </c>
      <c r="G25" s="13">
        <v>1.4E-2</v>
      </c>
      <c r="H25" s="13">
        <v>1.7999999999999999E-2</v>
      </c>
      <c r="I25" s="13">
        <v>5.0000000000000001E-3</v>
      </c>
      <c r="J25" s="13">
        <v>1.7000000000000001E-2</v>
      </c>
    </row>
    <row r="26" spans="1:10" x14ac:dyDescent="0.25">
      <c r="A26" s="23"/>
      <c r="B26" s="30"/>
      <c r="C26" s="12" t="s">
        <v>13</v>
      </c>
      <c r="D26" s="12">
        <v>-997.3</v>
      </c>
      <c r="E26" s="12">
        <f>D26-D25</f>
        <v>3.4300000000000637</v>
      </c>
      <c r="F26" s="14" t="s">
        <v>20</v>
      </c>
      <c r="G26" s="14" t="s">
        <v>20</v>
      </c>
      <c r="H26" s="14" t="s">
        <v>20</v>
      </c>
      <c r="I26" s="14" t="s">
        <v>20</v>
      </c>
      <c r="J26" s="14" t="s">
        <v>20</v>
      </c>
    </row>
    <row r="27" spans="1:10" x14ac:dyDescent="0.25">
      <c r="A27" s="23"/>
      <c r="B27" s="23" t="s">
        <v>10</v>
      </c>
      <c r="C27" s="24" t="s">
        <v>12</v>
      </c>
      <c r="D27" s="24">
        <v>-997.6</v>
      </c>
      <c r="E27" s="24">
        <f>D27-D30</f>
        <v>1.8299999999999272</v>
      </c>
      <c r="F27" s="4" t="s">
        <v>18</v>
      </c>
      <c r="G27" s="4">
        <v>1.9E-2</v>
      </c>
      <c r="H27" s="4">
        <v>0.16200000000000001</v>
      </c>
      <c r="I27" s="4">
        <v>1.2999999999999999E-2</v>
      </c>
      <c r="J27" s="35">
        <v>1.4E-2</v>
      </c>
    </row>
    <row r="28" spans="1:10" x14ac:dyDescent="0.25">
      <c r="A28" s="23"/>
      <c r="B28" s="23"/>
      <c r="C28" s="25"/>
      <c r="D28" s="25"/>
      <c r="E28" s="25"/>
      <c r="F28" s="11" t="s">
        <v>19</v>
      </c>
      <c r="G28" s="11">
        <v>-0.09</v>
      </c>
      <c r="H28" s="11">
        <v>0.68400000000000005</v>
      </c>
      <c r="I28" s="11">
        <v>0.22</v>
      </c>
      <c r="J28" s="36"/>
    </row>
    <row r="29" spans="1:10" x14ac:dyDescent="0.25">
      <c r="A29" s="23"/>
      <c r="B29" s="23"/>
      <c r="C29" s="7" t="s">
        <v>15</v>
      </c>
      <c r="D29" s="4">
        <v>-997.72</v>
      </c>
      <c r="E29" s="4">
        <f>D29-D30</f>
        <v>1.7099999999999227</v>
      </c>
      <c r="F29" s="4" t="s">
        <v>19</v>
      </c>
      <c r="G29" s="4">
        <v>-0.28000000000000003</v>
      </c>
      <c r="H29" s="4">
        <v>0.12</v>
      </c>
      <c r="I29" s="4">
        <v>0.18</v>
      </c>
      <c r="J29" s="4">
        <v>8.0000000000000002E-3</v>
      </c>
    </row>
    <row r="30" spans="1:10" x14ac:dyDescent="0.25">
      <c r="A30" s="23"/>
      <c r="B30" s="23"/>
      <c r="C30" s="8" t="s">
        <v>11</v>
      </c>
      <c r="D30" s="5">
        <v>-999.43</v>
      </c>
      <c r="E30" s="5">
        <v>0</v>
      </c>
      <c r="F30" s="5" t="s">
        <v>18</v>
      </c>
      <c r="G30" s="5">
        <v>2.3E-2</v>
      </c>
      <c r="H30" s="5">
        <v>0.04</v>
      </c>
      <c r="I30" s="5">
        <v>1.0999999999999999E-2</v>
      </c>
      <c r="J30" s="5">
        <v>1.2999999999999999E-2</v>
      </c>
    </row>
    <row r="31" spans="1:10" x14ac:dyDescent="0.25">
      <c r="A31" s="23"/>
      <c r="B31" s="23"/>
      <c r="C31" s="7" t="s">
        <v>13</v>
      </c>
      <c r="D31" s="4">
        <v>-997.29</v>
      </c>
      <c r="E31" s="4">
        <f>D31-D30</f>
        <v>2.1399999999999864</v>
      </c>
      <c r="F31" s="16" t="s">
        <v>20</v>
      </c>
      <c r="G31" s="6" t="s">
        <v>20</v>
      </c>
      <c r="H31" s="6" t="s">
        <v>20</v>
      </c>
      <c r="I31" s="6" t="s">
        <v>20</v>
      </c>
      <c r="J31" s="6" t="s">
        <v>20</v>
      </c>
    </row>
  </sheetData>
  <mergeCells count="32">
    <mergeCell ref="J2:J3"/>
    <mergeCell ref="B7:B11"/>
    <mergeCell ref="C7:C8"/>
    <mergeCell ref="D7:D8"/>
    <mergeCell ref="E7:E8"/>
    <mergeCell ref="A2:A16"/>
    <mergeCell ref="B2:B6"/>
    <mergeCell ref="C2:C3"/>
    <mergeCell ref="D2:D3"/>
    <mergeCell ref="E2:E3"/>
    <mergeCell ref="J7:J8"/>
    <mergeCell ref="B12:B16"/>
    <mergeCell ref="C12:C13"/>
    <mergeCell ref="D12:D13"/>
    <mergeCell ref="E12:E13"/>
    <mergeCell ref="J12:J13"/>
    <mergeCell ref="J17:J18"/>
    <mergeCell ref="B22:B26"/>
    <mergeCell ref="C22:C23"/>
    <mergeCell ref="D22:D23"/>
    <mergeCell ref="E22:E23"/>
    <mergeCell ref="A17:A31"/>
    <mergeCell ref="B17:B21"/>
    <mergeCell ref="C17:C18"/>
    <mergeCell ref="D17:D18"/>
    <mergeCell ref="E17:E18"/>
    <mergeCell ref="J22:J23"/>
    <mergeCell ref="B27:B31"/>
    <mergeCell ref="C27:C28"/>
    <mergeCell ref="D27:D28"/>
    <mergeCell ref="E27:E28"/>
    <mergeCell ref="J27:J28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332B7-11D8-431D-9EDE-B6A8C5DDF061}">
  <dimension ref="A1:K42"/>
  <sheetViews>
    <sheetView topLeftCell="B1" workbookViewId="0">
      <selection activeCell="I16" sqref="I16"/>
    </sheetView>
  </sheetViews>
  <sheetFormatPr defaultRowHeight="15" x14ac:dyDescent="0.25"/>
  <cols>
    <col min="2" max="2" width="15" customWidth="1"/>
    <col min="3" max="3" width="19.28515625" customWidth="1"/>
  </cols>
  <sheetData>
    <row r="1" spans="1:11" ht="17.25" x14ac:dyDescent="0.25">
      <c r="A1" s="9" t="s">
        <v>0</v>
      </c>
      <c r="B1" s="9" t="s">
        <v>1</v>
      </c>
      <c r="C1" s="9" t="s">
        <v>2</v>
      </c>
      <c r="D1" s="9" t="s">
        <v>3</v>
      </c>
      <c r="E1" s="10" t="s">
        <v>16</v>
      </c>
      <c r="F1" s="9" t="s">
        <v>5</v>
      </c>
      <c r="G1" s="9" t="s">
        <v>14</v>
      </c>
      <c r="H1" s="9" t="s">
        <v>6</v>
      </c>
    </row>
    <row r="2" spans="1:11" x14ac:dyDescent="0.25">
      <c r="A2" s="23" t="s">
        <v>7</v>
      </c>
      <c r="B2" s="15" t="s">
        <v>8</v>
      </c>
      <c r="C2" s="15" t="s">
        <v>11</v>
      </c>
      <c r="D2" s="22">
        <v>-1314.49</v>
      </c>
      <c r="E2" s="22">
        <v>5.0000000000000001E-3</v>
      </c>
      <c r="F2" s="22">
        <v>7.0000000000000007E-2</v>
      </c>
      <c r="G2" s="22">
        <v>3.0000000000000001E-3</v>
      </c>
      <c r="H2" s="22">
        <v>8.9999999999999993E-3</v>
      </c>
    </row>
    <row r="3" spans="1:11" x14ac:dyDescent="0.25">
      <c r="A3" s="23"/>
      <c r="B3" s="15" t="s">
        <v>9</v>
      </c>
      <c r="C3" s="15" t="s">
        <v>11</v>
      </c>
      <c r="D3" s="22">
        <v>-1314.29</v>
      </c>
      <c r="E3" s="22">
        <v>8.9999999999999993E-3</v>
      </c>
      <c r="F3" s="22">
        <v>7.8E-2</v>
      </c>
      <c r="G3" s="22">
        <v>5.0000000000000001E-3</v>
      </c>
      <c r="H3" s="22">
        <v>8.0000000000000002E-3</v>
      </c>
    </row>
    <row r="4" spans="1:11" x14ac:dyDescent="0.25">
      <c r="A4" s="23"/>
      <c r="B4" s="15" t="s">
        <v>10</v>
      </c>
      <c r="C4" s="15" t="s">
        <v>11</v>
      </c>
      <c r="D4" s="22">
        <v>-1314.67</v>
      </c>
      <c r="E4" s="22">
        <v>1.9E-2</v>
      </c>
      <c r="F4" s="22">
        <v>0.06</v>
      </c>
      <c r="G4" s="22">
        <v>0.01</v>
      </c>
      <c r="H4" s="22">
        <v>0.01</v>
      </c>
    </row>
    <row r="5" spans="1:11" x14ac:dyDescent="0.25">
      <c r="A5" s="23" t="s">
        <v>21</v>
      </c>
      <c r="B5" s="4" t="s">
        <v>8</v>
      </c>
      <c r="C5" s="4" t="s">
        <v>11</v>
      </c>
      <c r="D5" s="4">
        <v>-1002.05</v>
      </c>
      <c r="E5" s="4">
        <v>8.0000000000000002E-3</v>
      </c>
      <c r="F5" s="4">
        <v>7.0000000000000001E-3</v>
      </c>
      <c r="G5" s="4">
        <v>2E-3</v>
      </c>
      <c r="H5" s="4">
        <v>0.02</v>
      </c>
    </row>
    <row r="6" spans="1:11" x14ac:dyDescent="0.25">
      <c r="A6" s="23"/>
      <c r="B6" s="4" t="s">
        <v>9</v>
      </c>
      <c r="C6" s="4" t="s">
        <v>11</v>
      </c>
      <c r="D6" s="4">
        <v>-1000.73</v>
      </c>
      <c r="E6" s="4">
        <v>1.4E-2</v>
      </c>
      <c r="F6" s="4">
        <v>1.7999999999999999E-2</v>
      </c>
      <c r="G6" s="4">
        <v>5.0000000000000001E-3</v>
      </c>
      <c r="H6" s="4">
        <v>1.7000000000000001E-2</v>
      </c>
    </row>
    <row r="7" spans="1:11" x14ac:dyDescent="0.25">
      <c r="A7" s="23"/>
      <c r="B7" s="4" t="s">
        <v>10</v>
      </c>
      <c r="C7" s="4" t="s">
        <v>11</v>
      </c>
      <c r="D7" s="4">
        <v>-999.43</v>
      </c>
      <c r="E7" s="4">
        <v>2.3E-2</v>
      </c>
      <c r="F7" s="4">
        <v>0.04</v>
      </c>
      <c r="G7" s="4">
        <v>1.0999999999999999E-2</v>
      </c>
      <c r="H7" s="4">
        <v>1.2999999999999999E-2</v>
      </c>
    </row>
    <row r="12" spans="1:11" x14ac:dyDescent="0.25">
      <c r="B12" s="17"/>
      <c r="C12" s="17"/>
      <c r="D12" s="17"/>
      <c r="E12" s="17"/>
      <c r="F12" s="17"/>
      <c r="G12" s="17"/>
      <c r="H12" s="18"/>
      <c r="I12" s="17"/>
      <c r="J12" s="17"/>
      <c r="K12" s="17"/>
    </row>
    <row r="13" spans="1:11" x14ac:dyDescent="0.25"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x14ac:dyDescent="0.25"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 x14ac:dyDescent="0.25"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x14ac:dyDescent="0.25">
      <c r="B16" s="3"/>
      <c r="C16" s="3"/>
      <c r="D16" s="19"/>
      <c r="E16" s="19"/>
      <c r="F16" s="19"/>
      <c r="G16" s="19"/>
      <c r="H16" s="19"/>
      <c r="I16" s="19"/>
      <c r="J16" s="19"/>
      <c r="K16" s="19"/>
    </row>
    <row r="17" spans="2:11" x14ac:dyDescent="0.25">
      <c r="B17" s="3"/>
      <c r="C17" s="3"/>
      <c r="D17" s="3"/>
      <c r="E17" s="3"/>
      <c r="F17" s="3"/>
      <c r="G17" s="20"/>
      <c r="H17" s="20"/>
      <c r="I17" s="20"/>
      <c r="J17" s="20"/>
      <c r="K17" s="20"/>
    </row>
    <row r="18" spans="2:11" x14ac:dyDescent="0.25"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2:11" x14ac:dyDescent="0.25"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2:11" x14ac:dyDescent="0.25"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2:11" x14ac:dyDescent="0.25">
      <c r="B21" s="3"/>
      <c r="C21" s="3"/>
      <c r="D21" s="19"/>
      <c r="E21" s="19"/>
      <c r="F21" s="19"/>
      <c r="G21" s="19"/>
      <c r="H21" s="19"/>
      <c r="I21" s="19"/>
      <c r="J21" s="19"/>
      <c r="K21" s="19"/>
    </row>
    <row r="22" spans="2:11" x14ac:dyDescent="0.25">
      <c r="B22" s="3"/>
      <c r="C22" s="3"/>
      <c r="D22" s="3"/>
      <c r="E22" s="3"/>
      <c r="F22" s="3"/>
      <c r="G22" s="20"/>
      <c r="H22" s="20"/>
      <c r="I22" s="20"/>
      <c r="J22" s="20"/>
      <c r="K22" s="20"/>
    </row>
    <row r="23" spans="2:11" x14ac:dyDescent="0.25"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2:11" x14ac:dyDescent="0.25"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2:11" x14ac:dyDescent="0.25"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2:11" x14ac:dyDescent="0.25">
      <c r="B26" s="3"/>
      <c r="C26" s="3"/>
      <c r="D26" s="19"/>
      <c r="E26" s="19"/>
      <c r="F26" s="19"/>
      <c r="G26" s="19"/>
      <c r="H26" s="19"/>
      <c r="I26" s="19"/>
      <c r="J26" s="19"/>
      <c r="K26" s="19"/>
    </row>
    <row r="27" spans="2:11" x14ac:dyDescent="0.25">
      <c r="B27" s="3"/>
      <c r="C27" s="3"/>
      <c r="D27" s="3"/>
      <c r="E27" s="3"/>
      <c r="F27" s="3"/>
      <c r="G27" s="20"/>
      <c r="H27" s="20"/>
      <c r="I27" s="20"/>
      <c r="J27" s="20"/>
      <c r="K27" s="20"/>
    </row>
    <row r="28" spans="2:11" x14ac:dyDescent="0.25"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2:11" x14ac:dyDescent="0.25"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2:11" x14ac:dyDescent="0.25"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2:11" x14ac:dyDescent="0.25">
      <c r="B31" s="3"/>
      <c r="C31" s="3"/>
      <c r="D31" s="19"/>
      <c r="E31" s="19"/>
      <c r="F31" s="19"/>
      <c r="G31" s="19"/>
      <c r="H31" s="19"/>
      <c r="I31" s="19"/>
      <c r="J31" s="19"/>
      <c r="K31" s="19"/>
    </row>
    <row r="32" spans="2:11" x14ac:dyDescent="0.25">
      <c r="B32" s="3"/>
      <c r="C32" s="3"/>
      <c r="D32" s="3"/>
      <c r="E32" s="3"/>
      <c r="F32" s="3"/>
      <c r="G32" s="20"/>
      <c r="H32" s="20"/>
      <c r="I32" s="20"/>
      <c r="J32" s="20"/>
      <c r="K32" s="20"/>
    </row>
    <row r="33" spans="2:11" x14ac:dyDescent="0.25"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2:11" x14ac:dyDescent="0.25"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2:11" x14ac:dyDescent="0.25"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2:11" x14ac:dyDescent="0.25">
      <c r="B36" s="3"/>
      <c r="C36" s="3"/>
      <c r="D36" s="19"/>
      <c r="E36" s="19"/>
      <c r="F36" s="19"/>
      <c r="G36" s="19"/>
      <c r="H36" s="19"/>
      <c r="I36" s="19"/>
      <c r="J36" s="19"/>
      <c r="K36" s="19"/>
    </row>
    <row r="37" spans="2:11" x14ac:dyDescent="0.25">
      <c r="B37" s="3"/>
      <c r="C37" s="3"/>
      <c r="D37" s="3"/>
      <c r="E37" s="3"/>
      <c r="F37" s="3"/>
      <c r="G37" s="20"/>
      <c r="H37" s="20"/>
      <c r="I37" s="20"/>
      <c r="J37" s="20"/>
      <c r="K37" s="20"/>
    </row>
    <row r="38" spans="2:11" x14ac:dyDescent="0.25"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2:11" x14ac:dyDescent="0.25"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2:11" x14ac:dyDescent="0.25"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2:11" x14ac:dyDescent="0.25">
      <c r="B41" s="3"/>
      <c r="C41" s="3"/>
      <c r="D41" s="19"/>
      <c r="E41" s="19"/>
      <c r="F41" s="19"/>
      <c r="G41" s="19"/>
      <c r="H41" s="19"/>
      <c r="I41" s="19"/>
      <c r="J41" s="19"/>
      <c r="K41" s="19"/>
    </row>
    <row r="42" spans="2:11" x14ac:dyDescent="0.25">
      <c r="B42" s="3"/>
      <c r="C42" s="3"/>
      <c r="D42" s="3"/>
      <c r="E42" s="3"/>
      <c r="F42" s="3"/>
      <c r="G42" s="21"/>
      <c r="H42" s="20"/>
      <c r="I42" s="20"/>
      <c r="J42" s="20"/>
      <c r="K42" s="20"/>
    </row>
  </sheetData>
  <mergeCells count="2">
    <mergeCell ref="A2:A4"/>
    <mergeCell ref="A5:A7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Complete_GLM</vt:lpstr>
      <vt:lpstr>summary_GLM</vt:lpstr>
      <vt:lpstr>Complete_Betaregression</vt:lpstr>
      <vt:lpstr>summary_Betaregression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Calderon del Cid</dc:creator>
  <cp:lastModifiedBy>Carlos Calderon del Cid</cp:lastModifiedBy>
  <dcterms:created xsi:type="dcterms:W3CDTF">2026-03-27T17:26:34Z</dcterms:created>
  <dcterms:modified xsi:type="dcterms:W3CDTF">2026-05-08T17:46:26Z</dcterms:modified>
</cp:coreProperties>
</file>